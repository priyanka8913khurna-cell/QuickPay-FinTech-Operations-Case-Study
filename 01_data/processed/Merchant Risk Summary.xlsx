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2_Spreadsheet\"/>
    </mc:Choice>
  </mc:AlternateContent>
  <xr:revisionPtr revIDLastSave="0" documentId="13_ncr:1_{288B769A-3619-4088-BC14-89F9E3150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chant Risk Summary" sheetId="2" r:id="rId1"/>
    <sheet name="Sheet1" sheetId="1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<sst xmlns="http://schemas.openxmlformats.org/spreadsheetml/2006/main" count="8" uniqueCount="8">
  <si>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Row Labels</t>
  </si>
  <si>
    <t>Count of high_risk_flag</t>
  </si>
  <si>
    <t>Alpha Mart</t>
  </si>
  <si>
    <t>Beta Stores</t>
  </si>
  <si>
    <t>City Pharma</t>
  </si>
  <si>
    <t>Delta Travels</t>
  </si>
  <si>
    <t>Eco Home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</si>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</sst>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02_spreadsheetspreadsheet_workbook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2.59215300926" createdVersion="8" refreshedVersion="8" minRefreshableVersion="3" recordCount="30" xr:uid="{210FD985-B87A-4475-81FF-F4309720D6AE}">
  <cacheSource type="worksheet">
    <worksheetSource ref="A1:R31" sheet="02_spreadsheetspreadsheet_workb" r:id="rId2"/>
  </cacheSource>
  <cacheFields count="18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 count="11">
        <s v=" alpha mart "/>
        <s v="ALPHA MART"/>
        <s v="BETA STORES "/>
        <s v="Beta  Stores"/>
        <s v="Alpha  Mart"/>
        <s v="Beta Stores"/>
        <s v=" beta stores"/>
        <s v="City Pharma"/>
        <s v="Eco Home"/>
        <s v="DELTA TRAVELS"/>
        <s v="delta travels "/>
      </sharedItems>
    </cacheField>
    <cacheField name="merchant_name cleaned" numFmtId="0">
      <sharedItems count="5">
        <s v="Alpha Mart"/>
        <s v="Beta Stores"/>
        <s v="City Pharma"/>
        <s v="Eco Home"/>
        <s v="Delta Travels"/>
      </sharedItems>
    </cacheField>
    <cacheField name="default region from Merchant CSV" numFmtId="0">
      <sharedItems/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USDConversion" numFmtId="0">
      <sharedItems containsSemiMixedTypes="0" containsString="0" containsNumber="1" minValue="1512.5" maxValue="7381"/>
    </cacheField>
    <cacheField name="status" numFmtId="0">
      <sharedItems/>
    </cacheField>
    <cacheField name="status_cleaned" numFmtId="0">
      <sharedItems/>
    </cacheField>
    <cacheField name="risk_score" numFmtId="0">
      <sharedItems containsBlank="1" containsMixedTypes="1" containsNumber="1" containsInteger="1" minValue="38" maxValue="75"/>
    </cacheField>
    <cacheField name="risk_score Cleaned" numFmtId="0">
      <sharedItems containsString="0" containsBlank="1" containsNumber="1" containsInteger="1" minValue="38" maxValue="86"/>
    </cacheField>
    <cacheField name="gateway_region" numFmtId="0">
      <sharedItems containsBlank="1"/>
    </cacheField>
    <cacheField name="gateway_region Cleaned" numFmtId="0">
      <sharedItems containsBlank="1"/>
    </cacheField>
    <cacheField name="user_id" numFmtId="0">
      <sharedItems/>
    </cacheField>
    <cacheField name="payment_method" numFmtId="0">
      <sharedItems/>
    </cacheField>
    <cacheField name="High Value Flag" numFmtId="0">
      <sharedItems containsSemiMixedTypes="0" containsString="0" containsNumber="1" containsInteger="1" minValue="0" maxValue="1"/>
    </cacheField>
    <cacheField name="high_risk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x v="0"/>
    <x v="0"/>
    <s v="APAC"/>
    <n v="420000"/>
    <s v="INR"/>
    <n v="4998"/>
    <s v="captured"/>
    <s v="Captured"/>
    <s v="score:62"/>
    <n v="62"/>
    <s v="APAC"/>
    <s v="APAC"/>
    <s v="U001"/>
    <s v="UPI"/>
    <n v="0"/>
    <n v="0"/>
  </r>
  <r>
    <s v="T002"/>
    <d v="2026-03-01T00:00:00"/>
    <x v="1"/>
    <x v="0"/>
    <s v="APAC"/>
    <n v="210000"/>
    <s v="INR"/>
    <n v="2499"/>
    <s v="Captured "/>
    <s v="Captured"/>
    <n v="55"/>
    <n v="55"/>
    <m/>
    <m/>
    <s v="U002"/>
    <s v="Card"/>
    <n v="0"/>
    <n v="0"/>
  </r>
  <r>
    <s v="T003"/>
    <d v="2026-03-01T00:00:00"/>
    <x v="2"/>
    <x v="1"/>
    <s v="APAC"/>
    <n v="510000"/>
    <s v="INR"/>
    <n v="6069"/>
    <s v=" CAPTURED"/>
    <s v="Captured"/>
    <n v="71"/>
    <n v="71"/>
    <s v=" APAC "/>
    <s v="APAC"/>
    <s v="U003"/>
    <s v="NetBanking"/>
    <n v="1"/>
    <n v="1"/>
  </r>
  <r>
    <s v="T004"/>
    <d v="2026-03-02T00:00:00"/>
    <x v="3"/>
    <x v="1"/>
    <s v="APAC"/>
    <n v="160000"/>
    <s v="INR"/>
    <n v="1920"/>
    <s v=" failed e05 timeout "/>
    <s v="Failed E05 Timeout"/>
    <n v="68"/>
    <n v="68"/>
    <s v="APAC"/>
    <s v="APAC"/>
    <s v="U004"/>
    <s v="Card"/>
    <n v="0"/>
    <n v="0"/>
  </r>
  <r>
    <s v="T005"/>
    <d v="2026-03-02T00:00:00"/>
    <x v="1"/>
    <x v="0"/>
    <s v="APAC"/>
    <n v="390000"/>
    <s v="INR"/>
    <n v="4680"/>
    <s v=" CAPTURED"/>
    <s v="Captured"/>
    <n v="58"/>
    <n v="58"/>
    <m/>
    <m/>
    <s v="U001"/>
    <s v="UPI"/>
    <n v="0"/>
    <n v="0"/>
  </r>
  <r>
    <s v="T006"/>
    <d v="2026-03-02T00:00:00"/>
    <x v="3"/>
    <x v="1"/>
    <s v="APAC"/>
    <n v="275000"/>
    <s v="INR"/>
    <n v="3300"/>
    <s v="Captured "/>
    <s v="Captured"/>
    <s v="score:64"/>
    <n v="64"/>
    <m/>
    <m/>
    <s v="U005"/>
    <s v="Wallet"/>
    <n v="0"/>
    <n v="0"/>
  </r>
  <r>
    <s v="T007"/>
    <d v="2026-03-02T00:00:00"/>
    <x v="4"/>
    <x v="0"/>
    <s v="APAC"/>
    <n v="450000"/>
    <s v="INR"/>
    <n v="5400"/>
    <s v="chargeback"/>
    <s v="Chargeback"/>
    <s v="risk-83"/>
    <n v="83"/>
    <s v=" APAC "/>
    <s v="APAC"/>
    <s v="U006"/>
    <s v="Card"/>
    <n v="1"/>
    <n v="1"/>
  </r>
  <r>
    <s v="T008"/>
    <d v="2026-03-03T00:00:00"/>
    <x v="2"/>
    <x v="1"/>
    <s v="APAC"/>
    <n v="340000"/>
    <s v="INR"/>
    <n v="4114"/>
    <s v="Captured "/>
    <s v="Captured"/>
    <n v="59"/>
    <n v="59"/>
    <m/>
    <m/>
    <s v="U007"/>
    <s v="UPI"/>
    <n v="0"/>
    <n v="0"/>
  </r>
  <r>
    <s v="T009"/>
    <d v="2026-03-03T00:00:00"/>
    <x v="1"/>
    <x v="0"/>
    <s v="APAC"/>
    <n v="125000"/>
    <s v="INR"/>
    <n v="1512.5"/>
    <s v="captured"/>
    <s v="Captured"/>
    <n v="46"/>
    <n v="46"/>
    <s v="APAC"/>
    <s v="APAC"/>
    <s v="U002"/>
    <s v="Wallet"/>
    <n v="0"/>
    <n v="0"/>
  </r>
  <r>
    <s v="T010"/>
    <d v="2026-03-03T00:00:00"/>
    <x v="5"/>
    <x v="1"/>
    <s v="APAC"/>
    <n v="610000"/>
    <s v="INR"/>
    <n v="7381"/>
    <s v="captured"/>
    <s v="Captured"/>
    <s v="risk-77"/>
    <n v="77"/>
    <m/>
    <m/>
    <s v="U003"/>
    <s v="Card"/>
    <n v="1"/>
    <n v="1"/>
  </r>
  <r>
    <s v="T011"/>
    <d v="2026-03-03T00:00:00"/>
    <x v="4"/>
    <x v="0"/>
    <s v="APAC"/>
    <n v="195000"/>
    <s v="INR"/>
    <n v="2359.5"/>
    <s v="FAILED e05 TIMEOUT"/>
    <s v="Failed E05 Timeout"/>
    <m/>
    <m/>
    <m/>
    <m/>
    <s v="U008"/>
    <s v="UPI"/>
    <n v="0"/>
    <n v="0"/>
  </r>
  <r>
    <s v="T012"/>
    <d v="2026-03-04T00:00:00"/>
    <x v="3"/>
    <x v="1"/>
    <s v="APAC"/>
    <n v="250000"/>
    <s v="INR"/>
    <n v="3000"/>
    <s v="Captured "/>
    <s v="Captured"/>
    <s v="risk-61"/>
    <n v="61"/>
    <s v=" APAC "/>
    <s v="APAC"/>
    <s v="U009"/>
    <s v="Card"/>
    <n v="0"/>
    <n v="0"/>
  </r>
  <r>
    <s v="T013"/>
    <d v="2026-03-04T00:00:00"/>
    <x v="0"/>
    <x v="0"/>
    <s v="APAC"/>
    <n v="310000"/>
    <s v="INR"/>
    <n v="3720"/>
    <s v="Captured "/>
    <s v="Captured"/>
    <s v="score:54"/>
    <n v="54"/>
    <s v="APAC"/>
    <s v="APAC"/>
    <s v="U010"/>
    <s v="UPI"/>
    <n v="0"/>
    <n v="0"/>
  </r>
  <r>
    <s v="T014"/>
    <d v="2026-03-04T00:00:00"/>
    <x v="3"/>
    <x v="1"/>
    <s v="APAC"/>
    <n v="470000"/>
    <s v="INR"/>
    <n v="5640"/>
    <s v="Captured "/>
    <s v="Captured"/>
    <s v="risk-73"/>
    <n v="73"/>
    <s v="APAC"/>
    <s v="APAC"/>
    <s v="U001"/>
    <s v="NetBanking"/>
    <n v="1"/>
    <n v="1"/>
  </r>
  <r>
    <s v="T015"/>
    <d v="2026-03-04T00:00:00"/>
    <x v="1"/>
    <x v="0"/>
    <s v="APAC"/>
    <n v="130000"/>
    <s v="INR"/>
    <n v="1560"/>
    <s v="captured"/>
    <s v="Captured"/>
    <s v="score:52"/>
    <n v="52"/>
    <m/>
    <m/>
    <s v="U002"/>
    <s v="Card"/>
    <n v="0"/>
    <n v="0"/>
  </r>
  <r>
    <s v="T016"/>
    <d v="2026-03-05T00:00:00"/>
    <x v="3"/>
    <x v="1"/>
    <s v="APAC"/>
    <n v="220000"/>
    <s v="INR"/>
    <n v="2596"/>
    <s v="FAILED e05 TIMEOUT"/>
    <s v="Failed E05 Timeout"/>
    <s v="risk-69"/>
    <n v="69"/>
    <m/>
    <m/>
    <s v="U008"/>
    <s v="Card"/>
    <n v="0"/>
    <n v="0"/>
  </r>
  <r>
    <s v="T017"/>
    <d v="2026-03-05T00:00:00"/>
    <x v="3"/>
    <x v="1"/>
    <s v="APAC"/>
    <n v="180000"/>
    <s v="INR"/>
    <n v="2124"/>
    <s v="FAILED e05 TIMEOUT"/>
    <s v="Failed E05 Timeout"/>
    <s v="score:72"/>
    <n v="72"/>
    <s v="APAC"/>
    <s v="APAC"/>
    <s v="U008"/>
    <s v="Card"/>
    <n v="0"/>
    <n v="1"/>
  </r>
  <r>
    <s v="T018"/>
    <d v="2026-03-05T00:00:00"/>
    <x v="2"/>
    <x v="1"/>
    <s v="APAC"/>
    <n v="145000"/>
    <s v="INR"/>
    <n v="1711"/>
    <s v=" chargeback "/>
    <s v="Chargeback"/>
    <s v="risk-86"/>
    <n v="86"/>
    <s v=" APAC "/>
    <s v="APAC"/>
    <s v="U008"/>
    <s v="UPI"/>
    <n v="0"/>
    <n v="1"/>
  </r>
  <r>
    <s v="T019"/>
    <d v="2026-03-05T00:00:00"/>
    <x v="4"/>
    <x v="0"/>
    <s v="APAC"/>
    <n v="260000"/>
    <s v="INR"/>
    <n v="3068"/>
    <s v="FAILED e05 TIMEOUT"/>
    <s v="Failed E05 Timeout"/>
    <s v="score:67"/>
    <n v="67"/>
    <s v="APAC"/>
    <s v="APAC"/>
    <s v="U008"/>
    <s v="Wallet"/>
    <n v="0"/>
    <n v="0"/>
  </r>
  <r>
    <s v="T020"/>
    <d v="2026-03-05T00:00:00"/>
    <x v="1"/>
    <x v="0"/>
    <s v="APAC"/>
    <n v="520000"/>
    <s v="INR"/>
    <n v="6136"/>
    <s v="Captured "/>
    <s v="Captured"/>
    <n v="75"/>
    <n v="75"/>
    <s v="APAC"/>
    <s v="APAC"/>
    <s v="U005"/>
    <s v="UPI"/>
    <n v="1"/>
    <n v="1"/>
  </r>
  <r>
    <s v="T021"/>
    <d v="2026-03-06T00:00:00"/>
    <x v="6"/>
    <x v="1"/>
    <s v="APAC"/>
    <n v="330000"/>
    <s v="INR"/>
    <n v="3927"/>
    <s v="Captured "/>
    <s v="Captured"/>
    <s v="score:63"/>
    <n v="63"/>
    <m/>
    <m/>
    <s v="U006"/>
    <s v="Card"/>
    <n v="0"/>
    <n v="0"/>
  </r>
  <r>
    <s v="T022"/>
    <d v="2026-03-06T00:00:00"/>
    <x v="1"/>
    <x v="0"/>
    <s v="APAC"/>
    <n v="410000"/>
    <s v="INR"/>
    <n v="4879"/>
    <s v="Captured "/>
    <s v="Captured"/>
    <n v="60"/>
    <n v="60"/>
    <s v="APAC"/>
    <s v="APAC"/>
    <s v="U007"/>
    <s v="UPI"/>
    <n v="0"/>
    <n v="0"/>
  </r>
  <r>
    <s v="T023"/>
    <d v="2026-03-01T00:00:00"/>
    <x v="7"/>
    <x v="2"/>
    <s v="EU"/>
    <n v="5200"/>
    <s v="EUR"/>
    <n v="5616"/>
    <s v="Captured "/>
    <s v="Captured"/>
    <n v="42"/>
    <n v="42"/>
    <s v=" EU "/>
    <s v="EU"/>
    <s v="U003"/>
    <s v="Card"/>
    <n v="0"/>
    <n v="0"/>
  </r>
  <r>
    <s v="T024"/>
    <d v="2026-03-02T00:00:00"/>
    <x v="8"/>
    <x v="3"/>
    <s v="EU"/>
    <n v="6100"/>
    <s v="EUR"/>
    <n v="6649"/>
    <s v=" chargeback "/>
    <s v="Chargeback"/>
    <s v="score:65"/>
    <n v="65"/>
    <s v="EU"/>
    <s v="EU"/>
    <s v="U004"/>
    <s v="Card"/>
    <n v="1"/>
    <n v="0"/>
  </r>
  <r>
    <s v="T025"/>
    <d v="2026-03-03T00:00:00"/>
    <x v="7"/>
    <x v="2"/>
    <s v="EU"/>
    <n v="2800"/>
    <s v="EUR"/>
    <n v="3024"/>
    <s v="Captured "/>
    <s v="Captured"/>
    <n v="38"/>
    <n v="38"/>
    <s v="EU"/>
    <s v="EU"/>
    <s v="U005"/>
    <s v="Wallet"/>
    <n v="0"/>
    <n v="0"/>
  </r>
  <r>
    <s v="T026"/>
    <d v="2026-03-05T00:00:00"/>
    <x v="8"/>
    <x v="3"/>
    <s v="EU"/>
    <n v="3300"/>
    <s v="EUR"/>
    <n v="3597"/>
    <s v="FAILED e05 TIMEOUT"/>
    <s v="Failed E05 Timeout"/>
    <n v="44"/>
    <n v="44"/>
    <s v=" EU "/>
    <s v="EU"/>
    <s v="U006"/>
    <s v="NetBanking"/>
    <n v="0"/>
    <n v="0"/>
  </r>
  <r>
    <s v="T027"/>
    <d v="2026-03-01T00:00:00"/>
    <x v="9"/>
    <x v="4"/>
    <s v="US"/>
    <n v="7200"/>
    <s v="USD"/>
    <n v="7200"/>
    <s v="Captured "/>
    <s v="Captured"/>
    <n v="49"/>
    <n v="49"/>
    <s v="us"/>
    <s v="US"/>
    <s v="U007"/>
    <s v="Card"/>
    <n v="1"/>
    <n v="0"/>
  </r>
  <r>
    <s v="T028"/>
    <d v="2026-03-02T00:00:00"/>
    <x v="9"/>
    <x v="4"/>
    <s v="US"/>
    <n v="3100"/>
    <s v="USD"/>
    <n v="3100"/>
    <s v=" CAPTURED"/>
    <s v="Captured"/>
    <s v="risk-41"/>
    <n v="41"/>
    <s v="us"/>
    <s v="US"/>
    <s v="U008"/>
    <s v="Card"/>
    <n v="0"/>
    <n v="0"/>
  </r>
  <r>
    <s v="T029"/>
    <d v="2026-03-04T00:00:00"/>
    <x v="10"/>
    <x v="4"/>
    <s v="US"/>
    <n v="2500"/>
    <s v="USD"/>
    <n v="2500"/>
    <s v=" chargeback "/>
    <s v="Chargeback"/>
    <s v="score:58"/>
    <n v="58"/>
    <s v="us"/>
    <s v="US"/>
    <s v="U009"/>
    <s v="Wallet"/>
    <n v="0"/>
    <n v="0"/>
  </r>
  <r>
    <s v="T030"/>
    <d v="2026-03-06T00:00:00"/>
    <x v="9"/>
    <x v="4"/>
    <s v="US"/>
    <n v="1800"/>
    <s v="USD"/>
    <n v="1800"/>
    <s v="FAILED e05 TIMEOUT"/>
    <s v="Failed E05 Timeout"/>
    <s v="score:47"/>
    <n v="47"/>
    <s v="us"/>
    <s v="US"/>
    <s v="U010"/>
    <s v="UPI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DCDCC-A3CA-442E-A2B3-5B1D266F2D1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numFmtId="14" showAll="0"/>
    <pivotField showAll="0">
      <items count="12">
        <item x="0"/>
        <item x="6"/>
        <item x="4"/>
        <item x="1"/>
        <item x="3"/>
        <item x="5"/>
        <item x="2"/>
        <item x="7"/>
        <item x="9"/>
        <item x="10"/>
        <item x="8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high_risk_flag" fld="17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A802-6447-4080-BF62-8CD7613BCC81}">
  <dimension ref="A3:B9"/>
  <sheetViews>
    <sheetView tabSelected="1" workbookViewId="0">
      <selection activeCell="I14" sqref="I14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t="s">
        <v>0</v>
      </c>
      <c r="B3" t="s">
        <v>1</v>
      </c>
    </row>
    <row r="4" spans="1:2" x14ac:dyDescent="0.3">
      <c r="A4" s="1" t="s">
        <v>2</v>
      </c>
      <c r="B4">
        <v>11</v>
      </c>
    </row>
    <row r="5" spans="1:2" x14ac:dyDescent="0.3">
      <c r="A5" s="1" t="s">
        <v>3</v>
      </c>
      <c r="B5">
        <v>11</v>
      </c>
    </row>
    <row r="6" spans="1:2" x14ac:dyDescent="0.3">
      <c r="A6" s="1" t="s">
        <v>4</v>
      </c>
      <c r="B6">
        <v>2</v>
      </c>
    </row>
    <row r="7" spans="1:2" x14ac:dyDescent="0.3">
      <c r="A7" s="1" t="s">
        <v>5</v>
      </c>
      <c r="B7">
        <v>4</v>
      </c>
    </row>
    <row r="8" spans="1:2" x14ac:dyDescent="0.3">
      <c r="A8" s="1" t="s">
        <v>6</v>
      </c>
      <c r="B8">
        <v>2</v>
      </c>
    </row>
    <row r="9" spans="1:2" x14ac:dyDescent="0.3">
      <c r="A9" s="1" t="s">
        <v>7</v>
      </c>
      <c r="B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Merchant Risk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priyanka .</cp:lastModifiedBy>
  <dcterms:created xsi:type="dcterms:W3CDTF">2015-06-05T18:17:20Z</dcterms:created>
  <dcterms:modified xsi:type="dcterms:W3CDTF">2026-05-10T08:48:14Z</dcterms:modified>
</cp:coreProperties>
</file>